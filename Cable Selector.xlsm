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U=IR\Шаблоны\"/>
    </mc:Choice>
  </mc:AlternateContent>
  <xr:revisionPtr revIDLastSave="0" documentId="8_{E09D9832-E45A-4862-A2D7-4974E2F0A12B}" xr6:coauthVersionLast="46" xr6:coauthVersionMax="46" xr10:uidLastSave="{00000000-0000-0000-0000-000000000000}"/>
  <bookViews>
    <workbookView xWindow="2175" yWindow="-120" windowWidth="26745" windowHeight="16440" xr2:uid="{00000000-000D-0000-FFFF-FFFF00000000}"/>
  </bookViews>
  <sheets>
    <sheet name="Данные" sheetId="1" r:id="rId1"/>
    <sheet name="Проверки" sheetId="2" r:id="rId2"/>
    <sheet name="Токи КЗ" sheetId="3" r:id="rId3"/>
  </sheets>
  <functionGroups builtInGroupCount="19"/>
  <definedNames>
    <definedName name="CBAccResistAVT">TRUE</definedName>
    <definedName name="CBAccResistBusbar">TRUE</definedName>
    <definedName name="CBAccResistCable">TRUE</definedName>
    <definedName name="CBAccResistContacts">TRUE</definedName>
    <definedName name="CBAccResistDischarge">TRUE</definedName>
    <definedName name="CBAccResistSystem">TRUE</definedName>
    <definedName name="CBAccResistTransformator">TRUE</definedName>
    <definedName name="CBAccResistTT">TRUE</definedName>
    <definedName name="CBBusBar">"ШМА4-1250"</definedName>
    <definedName name="CBITT">300</definedName>
    <definedName name="CBKVATransformator">1600</definedName>
    <definedName name="CBSchemeTransformator">"Д/Ун-11"</definedName>
    <definedName name="CBTypeTransformator">"Trihal"</definedName>
    <definedName name="OB105KV">TRUE</definedName>
    <definedName name="OB63KV">FALSE</definedName>
    <definedName name="OBDocIDopGOSTR">TRUE</definedName>
    <definedName name="OBDocIDopPUE">FALSE</definedName>
    <definedName name="OBIAvtHighSide">FALSE</definedName>
    <definedName name="OBIkHighSide">TRUE</definedName>
    <definedName name="TBBusBar">10</definedName>
    <definedName name="TBdUUpside">"0,3"</definedName>
    <definedName name="TBIAvtHighSide">11</definedName>
    <definedName name="TBIkHighSide">"12,4"</definedName>
    <definedName name="TBKAVT">"1,3"</definedName>
    <definedName name="TBTempIndexGround">"0,79"</definedName>
    <definedName name="TBTempIndexOpenIn">"0,94"</definedName>
    <definedName name="TBTempIndexOpenOut">"0,79"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Дмитрий</author>
    <author>angel-fear</author>
  </authors>
  <commentList>
    <comment ref="G1" authorId="0" shapeId="0" xr:uid="{00000000-0006-0000-0100-000001000000}">
      <text>
        <r>
          <rPr>
            <i/>
            <sz val="8"/>
            <color indexed="81"/>
            <rFont val="Tahoma"/>
            <family val="2"/>
            <charset val="204"/>
          </rPr>
          <t>3.1.9. В сетях, защищаемых только от токов КЗ (не требующих защиты от перегрузки согласно 3.1.10), за исключением протяженных сетей, например сельских, коммунальных, допускается не выполнять расчетной проверки приведенной в 1.7.79 и 7.3.139 кратности тока КЗ, если обеспечено условие, чтобы по отношению к длительно допустимым токовым нагрузкам проводников, приведенным в таблицах гл. 1.3, аппараты защиты имели кратность не более:
300% для номинального тока плавкой вставки предохранителя;
450% для тока уставки автоматического выключателя, имеющего только максимальный мгновенно действующий расцепитель (отсечку);
100% для номинального тока расцепителя автоматического выключателя с нерегулируемой обратно зависящей от тока характеристикой (независимо от наличия или отсутствия отсечки);
125% для тока трогания расцепителя автоматического выключателя с регулируемой обратной зависящей от тока характеристикой; если на этом автоматическом выключателе имеется еще отсечка, то ее кратность тока срабатывания не ограничивается.
Наличие аппаратов защиты с завышенными уставками тока не является обоснованием для увеличения сечения проводников сверх указанных в гл. 1.3.</t>
        </r>
      </text>
    </comment>
    <comment ref="H1" authorId="0" shapeId="0" xr:uid="{00000000-0006-0000-0100-000002000000}">
      <text>
        <r>
          <rPr>
            <i/>
            <sz val="8"/>
            <color indexed="81"/>
            <rFont val="Tahoma"/>
            <family val="2"/>
            <charset val="204"/>
          </rPr>
          <t xml:space="preserve">3.1.11. В сетях, защищаемых от перегрузок (см. 3.1.10), проводники следует выбирать по расчетному току, при этом должно быть обеспечено условие, чтобы по отношению к длительно допустимым токовым нагрузкам, приведенным в таблицах гл. 1.3, аппараты защиты имели кратность не более:
80% для номинального тока плавкой вставки или тока уставки автоматического выключателя, имеющего только максимальный мгновенно действующий расцепитель (отсечку), - для проводников с поливинилхлоридной, резиновой и аналогичной по тепловым характеристикам изоляцией; для проводников, прокладываемых в невзрывоопасных производственных помещениях промышленных предприятий, допускается 100%;
100% для номинального тока плавкой вставки или тока уставки автоматического выключателя, имеющего только максимальный мгновенно действующий расцепитель (отсечку), - для кабелей с бумажной изоляцией;
100% для номинального тока расцепителя автоматического выключателя с нерегулируемой обратно зависящей от тока характеристикой (независимо от наличия или отсутствия отсечки) - для проводников всех марок;
100% для тока трогания расцепителя автоматического выключателя с регулируемой обратно зависящей от тока характеристикой - для проводников с поливинилхлоридной, резиновой и аналогичной по тепловым характеристикам изоляцией;
125% для тока трогания расцепителя автоматического выключателя с регулируемой обратно зависящей от тока характеристикой - для кабелей с бумажной изоляцией и изоляцией из вулканизированного полиэтилена.
</t>
        </r>
      </text>
    </comment>
    <comment ref="I1" authorId="0" shapeId="0" xr:uid="{00000000-0006-0000-0100-000003000000}">
      <text>
        <r>
          <rPr>
            <i/>
            <sz val="8"/>
            <color indexed="81"/>
            <rFont val="Tahoma"/>
            <family val="2"/>
            <charset val="204"/>
          </rPr>
          <t>3.1.13. В случаях, когда требуемая допустимая длительная токовая нагрузка проводника, определенная по 3.1.9 и 3.1.11, не совпадает с данными таблиц допустимых нагрузок, приведенных в гл. 1.3, допускается применение проводника ближайшего меньшего сечения, но не менее, чем это требуется по расчетному току.</t>
        </r>
      </text>
    </comment>
    <comment ref="K1" authorId="1" shapeId="0" xr:uid="{00000000-0006-0000-0100-000004000000}">
      <text>
        <r>
          <rPr>
            <i/>
            <sz val="8"/>
            <color indexed="81"/>
            <rFont val="Tahoma"/>
            <family val="2"/>
            <charset val="204"/>
          </rPr>
          <t>7.3.139. В электроустановках до 1 кВ с глухозаземленной нейтралью в целях обеспечения автоматического отключения аварийного участка проводимость нулевых защитных проводников должна быть выбрана такой, чтобы при замыкании на корпус или нулевой защитный проводник возникал ток КЗ, превышающий не менее чем в 4 раза номинальный ток плавкой вставки ближайшего предохранителя и не менее чем в 6 раз ток расцепителя автоматического выключателя, имеющего обратнозависимую от тока характеристику.
При защите сетей автоматическими выключателями, имеющими только электромагнитный расцепитель (без выдержки времени), следует руководствоваться требованиями, касающимися кратности тока КЗ и приведенными в 1.7.79.</t>
        </r>
        <r>
          <rPr>
            <b/>
            <sz val="8"/>
            <color indexed="81"/>
            <rFont val="Tahoma"/>
            <family val="2"/>
            <charset val="204"/>
          </rPr>
          <t xml:space="preserve">
</t>
        </r>
      </text>
    </comment>
    <comment ref="M1" authorId="0" shapeId="0" xr:uid="{00000000-0006-0000-0100-000005000000}">
      <text>
        <r>
          <rPr>
            <i/>
            <sz val="8"/>
            <color indexed="81"/>
            <rFont val="Tahoma"/>
            <family val="2"/>
            <charset val="204"/>
          </rPr>
          <t xml:space="preserve">Суммарный ток утечки сети с учетом присоединяемых стационарных и переносных электроприемников в нормальном режиме работы не должен превосходить 1/3 номинального тока УЗО. При отсутствии данных ток утечки электроприемников следует принимать из расчета 0,4 мА на 1 А тока нагрузки, а ток утечки сети - из расчета 10 мкА на 1 м длины фазного проводника.
</t>
        </r>
      </text>
    </comment>
  </commentList>
</comments>
</file>

<file path=xl/sharedStrings.xml><?xml version="1.0" encoding="utf-8"?>
<sst xmlns="http://schemas.openxmlformats.org/spreadsheetml/2006/main" count="70" uniqueCount="61">
  <si>
    <t>cos φ</t>
  </si>
  <si>
    <t>КПД</t>
  </si>
  <si>
    <t>Наименование кабельной линии</t>
  </si>
  <si>
    <t>Марка кабеля</t>
  </si>
  <si>
    <t>Кол-во жил кабеля</t>
  </si>
  <si>
    <t>Сечение жилы кабеля</t>
  </si>
  <si>
    <t>Кабелей в параллель</t>
  </si>
  <si>
    <t>Род тока</t>
  </si>
  <si>
    <t>Длина, 
м</t>
  </si>
  <si>
    <t>Способ прокладки</t>
  </si>
  <si>
    <t>Наименование ЭП</t>
  </si>
  <si>
    <t>Кабели
[кол-во соед.]</t>
  </si>
  <si>
    <t>Шинопровод [кол-во соед.]</t>
  </si>
  <si>
    <t>Комм. аппараты
[кол-во соед.]</t>
  </si>
  <si>
    <t>Iуст. [А]</t>
  </si>
  <si>
    <t>Iдиф. [мА]</t>
  </si>
  <si>
    <t>Iоткл. [кА]</t>
  </si>
  <si>
    <t>Kc</t>
  </si>
  <si>
    <t>Электроприемник  1</t>
  </si>
  <si>
    <t>ЭП1-н1</t>
  </si>
  <si>
    <t>открыто(пом)</t>
  </si>
  <si>
    <t>6</t>
  </si>
  <si>
    <t>Тип кабеля</t>
  </si>
  <si>
    <t>Длина [м]</t>
  </si>
  <si>
    <t>Iдоп [А]</t>
  </si>
  <si>
    <t xml:space="preserve">ПУЭ 3.1.9 </t>
  </si>
  <si>
    <t>ПУЭ 3.1.11</t>
  </si>
  <si>
    <t>Iдоп&gt;=Iр
ПУЭ 3.1.13</t>
  </si>
  <si>
    <t>Ц-02-98(Э)
Fmin</t>
  </si>
  <si>
    <t>ПУЭ 7.1.83</t>
  </si>
  <si>
    <t>ΔU</t>
  </si>
  <si>
    <t>Iоткл&gt;Iуд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</si>
  <si>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УСТ</t>
    </r>
    <r>
      <rPr>
        <sz val="11"/>
        <color theme="1"/>
        <rFont val="Calibri"/>
        <family val="2"/>
        <charset val="204"/>
        <scheme val="minor"/>
      </rPr>
      <t xml:space="preserve"> [кВт]</t>
    </r>
  </si>
  <si>
    <r>
      <t>Ip</t>
    </r>
    <r>
      <rPr>
        <sz val="11"/>
        <color theme="1"/>
        <rFont val="Calibri"/>
        <family val="2"/>
        <charset val="204"/>
        <scheme val="minor"/>
      </rPr>
      <t xml:space="preserve"> [A]</t>
    </r>
  </si>
  <si>
    <r>
      <t>Iуст.&gt;Iр</t>
    </r>
    <r>
      <rPr>
        <sz val="11"/>
        <rFont val="Calibri"/>
        <family val="2"/>
        <charset val="204"/>
      </rPr>
      <t>∙Kз</t>
    </r>
  </si>
  <si>
    <r>
      <t>Кратность
I</t>
    </r>
    <r>
      <rPr>
        <vertAlign val="superscript"/>
        <sz val="11"/>
        <color theme="1"/>
        <rFont val="Calibri"/>
        <family val="2"/>
        <charset val="204"/>
        <scheme val="minor"/>
      </rPr>
      <t>k(1)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/ I</t>
    </r>
    <r>
      <rPr>
        <vertAlign val="subscript"/>
        <sz val="11"/>
        <color theme="1"/>
        <rFont val="Calibri"/>
        <family val="2"/>
        <charset val="204"/>
        <scheme val="minor"/>
      </rPr>
      <t>УСТ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</si>
  <si>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 </t>
    </r>
    <r>
      <rPr>
        <sz val="11"/>
        <color theme="1"/>
        <rFont val="Calibri"/>
        <family val="2"/>
        <charset val="204"/>
        <scheme val="minor"/>
      </rPr>
      <t>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</si>
  <si>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 </t>
    </r>
    <r>
      <rPr>
        <sz val="11"/>
        <color theme="1"/>
        <rFont val="Calibri"/>
        <family val="2"/>
        <charset val="204"/>
        <scheme val="minor"/>
      </rPr>
      <t>[мОм]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</si>
  <si>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 </t>
    </r>
    <r>
      <rPr>
        <sz val="11"/>
        <color theme="1"/>
        <rFont val="Calibri"/>
        <family val="2"/>
        <charset val="204"/>
        <scheme val="minor"/>
      </rPr>
      <t>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</si>
  <si>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Ш </t>
    </r>
    <r>
      <rPr>
        <sz val="11"/>
        <color theme="1"/>
        <rFont val="Calibri"/>
        <family val="2"/>
        <charset val="204"/>
        <scheme val="minor"/>
      </rPr>
      <t>[мОм]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</si>
  <si>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Ш </t>
    </r>
    <r>
      <rPr>
        <sz val="11"/>
        <color theme="1"/>
        <rFont val="Calibri"/>
        <family val="2"/>
        <charset val="204"/>
        <scheme val="minor"/>
      </rPr>
      <t>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</si>
  <si>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КЛ </t>
    </r>
    <r>
      <rPr>
        <sz val="11"/>
        <color theme="1"/>
        <rFont val="Calibri"/>
        <family val="2"/>
        <charset val="204"/>
        <scheme val="minor"/>
      </rPr>
      <t>[мОм]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</si>
  <si>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КЛ </t>
    </r>
    <r>
      <rPr>
        <sz val="11"/>
        <color theme="1"/>
        <rFont val="Calibri"/>
        <family val="2"/>
        <charset val="204"/>
        <scheme val="minor"/>
      </rPr>
      <t>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</si>
  <si>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ТА </t>
    </r>
    <r>
      <rPr>
        <sz val="11"/>
        <color theme="1"/>
        <rFont val="Calibri"/>
        <family val="2"/>
        <charset val="204"/>
        <scheme val="minor"/>
      </rPr>
      <t>[мОм]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</si>
  <si>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ТА </t>
    </r>
    <r>
      <rPr>
        <sz val="11"/>
        <color theme="1"/>
        <rFont val="Calibri"/>
        <family val="2"/>
        <charset val="204"/>
        <scheme val="minor"/>
      </rPr>
      <t>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</si>
  <si>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КВ </t>
    </r>
    <r>
      <rPr>
        <sz val="11"/>
        <color theme="1"/>
        <rFont val="Calibri"/>
        <family val="2"/>
        <charset val="204"/>
        <scheme val="minor"/>
      </rPr>
      <t>[мОм]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</si>
  <si>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КВ </t>
    </r>
    <r>
      <rPr>
        <sz val="11"/>
        <color theme="1"/>
        <rFont val="Calibri"/>
        <family val="2"/>
        <charset val="204"/>
        <scheme val="minor"/>
      </rPr>
      <t>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</si>
  <si>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Д </t>
    </r>
    <r>
      <rPr>
        <sz val="11"/>
        <color theme="1"/>
        <rFont val="Calibri"/>
        <family val="2"/>
        <charset val="204"/>
        <scheme val="minor"/>
      </rPr>
      <t>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</si>
  <si>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K∑</t>
    </r>
    <r>
      <rPr>
        <sz val="11"/>
        <color theme="1"/>
        <rFont val="Calibri"/>
        <family val="2"/>
        <charset val="204"/>
        <scheme val="minor"/>
      </rPr>
      <t xml:space="preserve"> [мОм]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</si>
  <si>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1∑</t>
    </r>
    <r>
      <rPr>
        <sz val="11"/>
        <color theme="1"/>
        <rFont val="Calibri"/>
        <family val="2"/>
        <charset val="204"/>
        <scheme val="minor"/>
      </rPr>
      <t xml:space="preserve"> [мОм]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</si>
  <si>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1∑</t>
    </r>
    <r>
      <rPr>
        <sz val="11"/>
        <color theme="1"/>
        <rFont val="Calibri"/>
        <family val="2"/>
        <charset val="204"/>
        <scheme val="minor"/>
      </rPr>
      <t xml:space="preserve"> [мОм]</t>
    </r>
  </si>
  <si>
    <r>
      <t>Z</t>
    </r>
    <r>
      <rPr>
        <vertAlign val="subscript"/>
        <sz val="11"/>
        <color theme="1"/>
        <rFont val="Calibri"/>
        <family val="2"/>
        <charset val="204"/>
        <scheme val="minor"/>
      </rPr>
      <t>∑</t>
    </r>
    <r>
      <rPr>
        <sz val="11"/>
        <color theme="1"/>
        <rFont val="Calibri"/>
        <family val="2"/>
        <charset val="204"/>
        <scheme val="minor"/>
      </rPr>
      <t xml:space="preserve"> [мОм]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</si>
  <si>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ПО </t>
    </r>
    <r>
      <rPr>
        <sz val="11"/>
        <color theme="1"/>
        <rFont val="Calibri"/>
        <family val="2"/>
        <charset val="204"/>
        <scheme val="minor"/>
      </rPr>
      <t>[кА]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</si>
  <si>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а0 </t>
    </r>
    <r>
      <rPr>
        <sz val="11"/>
        <color theme="1"/>
        <rFont val="Calibri"/>
        <family val="2"/>
        <charset val="204"/>
        <scheme val="minor"/>
      </rPr>
      <t>[кА]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</si>
  <si>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уд </t>
    </r>
    <r>
      <rPr>
        <sz val="11"/>
        <color theme="1"/>
        <rFont val="Calibri"/>
        <family val="2"/>
        <charset val="204"/>
        <scheme val="minor"/>
      </rPr>
      <t>[кА]</t>
    </r>
  </si>
  <si>
    <r>
      <t>I</t>
    </r>
    <r>
      <rPr>
        <vertAlign val="subscript"/>
        <sz val="11"/>
        <color rgb="FF000000"/>
        <rFont val="Calibri"/>
        <family val="2"/>
        <charset val="204"/>
        <scheme val="minor"/>
      </rPr>
      <t>ПО</t>
    </r>
    <r>
      <rPr>
        <vertAlign val="superscript"/>
        <sz val="11"/>
        <color rgb="FF000000"/>
        <rFont val="Calibri"/>
        <family val="2"/>
        <charset val="204"/>
        <scheme val="minor"/>
      </rPr>
      <t>(2)</t>
    </r>
    <r>
      <rPr>
        <vertAlign val="subscript"/>
        <sz val="11"/>
        <color rgb="FF000000"/>
        <rFont val="Calibri"/>
        <family val="2"/>
        <charset val="204"/>
        <scheme val="minor"/>
      </rPr>
      <t xml:space="preserve"> </t>
    </r>
    <r>
      <rPr>
        <sz val="11"/>
        <color rgb="FF000000"/>
        <rFont val="Calibri"/>
        <family val="2"/>
        <charset val="204"/>
        <scheme val="minor"/>
      </rPr>
      <t>[кА]</t>
    </r>
  </si>
  <si>
    <r>
      <t>I</t>
    </r>
    <r>
      <rPr>
        <vertAlign val="subscript"/>
        <sz val="11"/>
        <color rgb="FF000000"/>
        <rFont val="Calibri"/>
        <family val="2"/>
        <charset val="204"/>
        <scheme val="minor"/>
      </rPr>
      <t>ПО</t>
    </r>
    <r>
      <rPr>
        <vertAlign val="superscript"/>
        <sz val="11"/>
        <color rgb="FF000000"/>
        <rFont val="Calibri"/>
        <family val="2"/>
        <charset val="204"/>
        <scheme val="minor"/>
      </rPr>
      <t>(1)</t>
    </r>
    <r>
      <rPr>
        <vertAlign val="subscript"/>
        <sz val="11"/>
        <color rgb="FF000000"/>
        <rFont val="Calibri"/>
        <family val="2"/>
        <charset val="204"/>
        <scheme val="minor"/>
      </rPr>
      <t xml:space="preserve"> </t>
    </r>
    <r>
      <rPr>
        <sz val="11"/>
        <color rgb="FF000000"/>
        <rFont val="Calibri"/>
        <family val="2"/>
        <charset val="204"/>
        <scheme val="minor"/>
      </rPr>
      <t>[кА]</t>
    </r>
  </si>
  <si>
    <t>3-фазный</t>
  </si>
  <si>
    <t>ВВГнг</t>
  </si>
  <si>
    <t>ВВГнг 4x4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</si>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</sst>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1"/>
      <color theme="9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rgb="FF000000"/>
      <name val="Calibri"/>
      <family val="2"/>
      <charset val="204"/>
      <scheme val="minor"/>
    </font>
    <font>
      <vertAlign val="superscript"/>
      <sz val="11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rgb="FFEC787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ont="1"/>
    <xf numFmtId="2" fontId="0" fillId="0" borderId="0" xfId="0" applyNumberFormat="1" applyFont="1"/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9" fontId="0" fillId="0" borderId="0" xfId="0" applyNumberFormat="1" applyFont="1"/>
    <xf numFmtId="0" fontId="7" fillId="0" borderId="1" xfId="0" applyFont="1" applyBorder="1" applyAlignment="1">
      <alignment horizontal="center" vertical="distributed"/>
    </xf>
    <xf numFmtId="0" fontId="0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3" fontId="0" fillId="0" borderId="0" xfId="0" applyNumberFormat="1" applyFont="1"/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7878"/>
      <color rgb="FFF4B2B2"/>
      <color rgb="FFE85E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0</xdr:row>
          <xdr:rowOff>142875</xdr:rowOff>
        </xdr:from>
        <xdr:to>
          <xdr:col>22</xdr:col>
          <xdr:colOff>600075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Настройка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0</xdr:row>
          <xdr:rowOff>0</xdr:rowOff>
        </xdr:from>
        <xdr:to>
          <xdr:col>20</xdr:col>
          <xdr:colOff>466725</xdr:colOff>
          <xdr:row>0</xdr:row>
          <xdr:rowOff>304800</xdr:rowOff>
        </xdr:to>
        <xdr:sp macro="" textlink="">
          <xdr:nvSpPr>
            <xdr:cNvPr id="1028" name="AddRow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0</xdr:row>
          <xdr:rowOff>314325</xdr:rowOff>
        </xdr:from>
        <xdr:to>
          <xdr:col>20</xdr:col>
          <xdr:colOff>466725</xdr:colOff>
          <xdr:row>0</xdr:row>
          <xdr:rowOff>619125</xdr:rowOff>
        </xdr:to>
        <xdr:sp macro="" textlink="">
          <xdr:nvSpPr>
            <xdr:cNvPr id="1029" name="DelRo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0</xdr:row>
          <xdr:rowOff>66675</xdr:rowOff>
        </xdr:from>
        <xdr:to>
          <xdr:col>15</xdr:col>
          <xdr:colOff>561975</xdr:colOff>
          <xdr:row>0</xdr:row>
          <xdr:rowOff>571500</xdr:rowOff>
        </xdr:to>
        <xdr:sp macro="" textlink="">
          <xdr:nvSpPr>
            <xdr:cNvPr id="2055" name="CBSqrChang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6"/>
  <sheetViews>
    <sheetView tabSelected="1" workbookViewId="0">
      <selection activeCell="K2" sqref="K2"/>
    </sheetView>
  </sheetViews>
  <sheetFormatPr defaultRowHeight="15" x14ac:dyDescent="0.25"/>
  <cols>
    <col min="1" max="1" width="25.7109375" style="1" customWidth="1"/>
    <col min="2" max="3" width="9.7109375" style="1" customWidth="1"/>
    <col min="4" max="6" width="8.7109375" style="1" customWidth="1"/>
    <col min="7" max="8" width="15.7109375" style="1" customWidth="1"/>
    <col min="9" max="9" width="10.7109375" style="1" customWidth="1"/>
    <col min="10" max="11" width="8.7109375" style="1" customWidth="1"/>
    <col min="12" max="12" width="12.7109375" style="1" customWidth="1"/>
    <col min="13" max="13" width="8.7109375" style="1" customWidth="1"/>
    <col min="14" max="14" width="14.7109375" style="1" customWidth="1"/>
    <col min="15" max="17" width="13.7109375" style="1" customWidth="1"/>
    <col min="18" max="20" width="9.7109375" style="1" customWidth="1"/>
    <col min="21" max="22" width="9.140625" style="1" customWidth="1"/>
    <col min="23" max="16384" width="9.140625" style="1"/>
  </cols>
  <sheetData>
    <row r="1" spans="1:23" ht="50.1" customHeight="1" x14ac:dyDescent="0.25">
      <c r="A1" s="9" t="s">
        <v>10</v>
      </c>
      <c r="B1" s="10" t="s">
        <v>32</v>
      </c>
      <c r="C1" s="10" t="s">
        <v>33</v>
      </c>
      <c r="D1" s="10" t="s">
        <v>17</v>
      </c>
      <c r="E1" s="9" t="s">
        <v>0</v>
      </c>
      <c r="F1" s="9" t="s">
        <v>1</v>
      </c>
      <c r="G1" s="9" t="s">
        <v>2</v>
      </c>
      <c r="H1" s="9" t="s">
        <v>3</v>
      </c>
      <c r="I1" s="9" t="s">
        <v>6</v>
      </c>
      <c r="J1" s="9" t="s">
        <v>4</v>
      </c>
      <c r="K1" s="10" t="s">
        <v>5</v>
      </c>
      <c r="L1" s="10" t="s">
        <v>7</v>
      </c>
      <c r="M1" s="9" t="s">
        <v>8</v>
      </c>
      <c r="N1" s="9" t="s">
        <v>9</v>
      </c>
      <c r="O1" s="9" t="s">
        <v>11</v>
      </c>
      <c r="P1" s="9" t="s">
        <v>12</v>
      </c>
      <c r="Q1" s="9" t="s">
        <v>13</v>
      </c>
      <c r="R1" s="9" t="s">
        <v>14</v>
      </c>
      <c r="S1" s="9" t="s">
        <v>15</v>
      </c>
      <c r="T1" s="10" t="s">
        <v>16</v>
      </c>
      <c r="U1" s="2"/>
    </row>
    <row r="2" spans="1:23" x14ac:dyDescent="0.25">
      <c r="A2" s="4" t="s">
        <v>18</v>
      </c>
      <c r="B2" s="10">
        <v>10</v>
      </c>
      <c r="C2" s="10">
        <v>18.991785170711374</v>
      </c>
      <c r="D2" s="7">
        <v>1</v>
      </c>
      <c r="E2" s="7">
        <v>0.8</v>
      </c>
      <c r="F2" s="7">
        <v>0.95</v>
      </c>
      <c r="G2" s="21" t="s">
        <v>19</v>
      </c>
      <c r="H2" s="4" t="s">
        <v>58</v>
      </c>
      <c r="I2" s="4">
        <v>1</v>
      </c>
      <c r="J2" s="4">
        <v>4</v>
      </c>
      <c r="K2" s="8" t="s">
        <v>60</v>
      </c>
      <c r="L2" s="4" t="s">
        <v>57</v>
      </c>
      <c r="M2" s="4">
        <v>20</v>
      </c>
      <c r="N2" s="4" t="s">
        <v>20</v>
      </c>
      <c r="O2" s="4">
        <v>2</v>
      </c>
      <c r="P2" s="4">
        <v>2</v>
      </c>
      <c r="Q2" s="4">
        <v>2</v>
      </c>
      <c r="R2" s="4">
        <v>25</v>
      </c>
      <c r="S2" s="4">
        <v>0</v>
      </c>
      <c r="T2" s="8" t="s">
        <v>21</v>
      </c>
    </row>
    <row r="3" spans="1:2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</row>
    <row r="6" spans="1:2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</sheetData>
  <dataValidations count="9">
    <dataValidation type="list" allowBlank="1" showInputMessage="1" showErrorMessage="1" sqref="H2" xr:uid="{00000000-0002-0000-0000-000000000000}">
      <formula1>"ВВГ,ВВГнг,ВВГнг-LS,ВВГнг-FRLS,ВБбШв,ВБбШнг,ВБбШвнг-LS,КГВВ,КГВВнг,ППГнг-HF,ППГнг-FRHF,ПвБбШв,ПвБбШнг(А)-LS,АВВГ,АВВГнг,АВВГнг-LS,АВБбШв,АВБбШнг,АВБбШвнг-LS,АПвВГ,АПвВнг(А)-LS,АПвВГнг(В),АПвБбШв,АПвБбШнг(А)-LS"</formula1>
    </dataValidation>
    <dataValidation type="list" allowBlank="1" showInputMessage="1" showErrorMessage="1" sqref="I2 J2" xr:uid="{00000000-0002-0000-0000-000001000000}">
      <formula1>"1,2,3,4,5"</formula1>
    </dataValidation>
    <dataValidation type="list" allowBlank="1" showInputMessage="1" showErrorMessage="1" sqref="K2" xr:uid="{00000000-0002-0000-0000-000002000000}">
      <formula1>"1.5,2.5,4,6,10,16,25,35,50,70,95,120,150,185,240,300,400,500,630,800,1000"</formula1>
    </dataValidation>
    <dataValidation type="list" allowBlank="1" showInputMessage="1" showErrorMessage="1" sqref="L2" xr:uid="{00000000-0002-0000-0000-000003000000}">
      <formula1>"1-фазный,3-фазный"</formula1>
    </dataValidation>
    <dataValidation type="list" allowBlank="1" showInputMessage="1" showErrorMessage="1" sqref="N2" xr:uid="{00000000-0002-0000-0000-000004000000}">
      <formula1>"открыто(пом),открыто(нар),в земле"</formula1>
    </dataValidation>
    <dataValidation type="list" allowBlank="1" showInputMessage="1" showErrorMessage="1" sqref="R2" xr:uid="{00000000-0002-0000-0000-000005000000}">
      <formula1>"6,10,16,20,25,32,40,50,63,80,100,120,160,200,250,320,400,500,630,800,1000,1600,2500,4000"</formula1>
    </dataValidation>
    <dataValidation type="list" allowBlank="1" showInputMessage="1" showErrorMessage="1" sqref="S2" xr:uid="{00000000-0002-0000-0000-000006000000}">
      <formula1>"0,10,30,100,300"</formula1>
    </dataValidation>
    <dataValidation type="list" allowBlank="1" showInputMessage="1" showErrorMessage="1" sqref="T2" xr:uid="{00000000-0002-0000-0000-000007000000}">
      <formula1>"6,10,12.5,15,25,36,50,75,100,150"</formula1>
    </dataValidation>
    <dataValidation type="list" allowBlank="1" showInputMessage="1" showErrorMessage="1" sqref="P2 O2 Q2" xr:uid="{00000000-0002-0000-0000-000008000000}">
      <formula1>"0,1,2,3,4,5,6,7,8,9,10"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9" r:id="rId4" name="DelRow">
          <controlPr autoLine="0" r:id="rId5">
            <anchor moveWithCells="1">
              <from>
                <xdr:col>20</xdr:col>
                <xdr:colOff>142875</xdr:colOff>
                <xdr:row>0</xdr:row>
                <xdr:rowOff>314325</xdr:rowOff>
              </from>
              <to>
                <xdr:col>20</xdr:col>
                <xdr:colOff>466725</xdr:colOff>
                <xdr:row>0</xdr:row>
                <xdr:rowOff>619125</xdr:rowOff>
              </to>
            </anchor>
          </controlPr>
        </control>
      </mc:Choice>
      <mc:Fallback>
        <control shapeId="1029" r:id="rId4" name="DelRow"/>
      </mc:Fallback>
    </mc:AlternateContent>
    <mc:AlternateContent xmlns:mc="http://schemas.openxmlformats.org/markup-compatibility/2006">
      <mc:Choice Requires="x14">
        <control shapeId="1028" r:id="rId6" name="AddRow">
          <controlPr autoLine="0" r:id="rId7">
            <anchor moveWithCells="1">
              <from>
                <xdr:col>20</xdr:col>
                <xdr:colOff>142875</xdr:colOff>
                <xdr:row>0</xdr:row>
                <xdr:rowOff>0</xdr:rowOff>
              </from>
              <to>
                <xdr:col>20</xdr:col>
                <xdr:colOff>466725</xdr:colOff>
                <xdr:row>0</xdr:row>
                <xdr:rowOff>304800</xdr:rowOff>
              </to>
            </anchor>
          </controlPr>
        </control>
      </mc:Choice>
      <mc:Fallback>
        <control shapeId="1028" r:id="rId6" name="AddRow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Preferences">
            <anchor moveWithCells="1">
              <from>
                <xdr:col>21</xdr:col>
                <xdr:colOff>9525</xdr:colOff>
                <xdr:row>0</xdr:row>
                <xdr:rowOff>142875</xdr:rowOff>
              </from>
              <to>
                <xdr:col>22</xdr:col>
                <xdr:colOff>600075</xdr:colOff>
                <xdr:row>0</xdr:row>
                <xdr:rowOff>485775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W18"/>
  <sheetViews>
    <sheetView workbookViewId="0"/>
  </sheetViews>
  <sheetFormatPr defaultRowHeight="15" x14ac:dyDescent="0.25"/>
  <cols>
    <col min="1" max="1" width="25.7109375" style="1" customWidth="1"/>
    <col min="2" max="3" width="15.7109375" style="1" customWidth="1"/>
    <col min="4" max="4" width="18.7109375" style="1" customWidth="1"/>
    <col min="5" max="15" width="12.7109375" style="1" customWidth="1"/>
    <col min="16" max="16384" width="9.140625" style="1"/>
  </cols>
  <sheetData>
    <row r="1" spans="1:23" ht="50.1" customHeight="1" x14ac:dyDescent="0.25">
      <c r="A1" s="11" t="s">
        <v>10</v>
      </c>
      <c r="B1" s="11" t="s">
        <v>2</v>
      </c>
      <c r="C1" s="12" t="s">
        <v>33</v>
      </c>
      <c r="D1" s="11" t="s">
        <v>22</v>
      </c>
      <c r="E1" s="11" t="s">
        <v>23</v>
      </c>
      <c r="F1" s="9" t="s">
        <v>24</v>
      </c>
      <c r="G1" s="9" t="s">
        <v>25</v>
      </c>
      <c r="H1" s="9" t="s">
        <v>26</v>
      </c>
      <c r="I1" s="9" t="s">
        <v>27</v>
      </c>
      <c r="J1" s="9" t="s">
        <v>34</v>
      </c>
      <c r="K1" s="13" t="s">
        <v>35</v>
      </c>
      <c r="L1" s="13" t="s">
        <v>28</v>
      </c>
      <c r="M1" s="9" t="s">
        <v>29</v>
      </c>
      <c r="N1" s="9" t="s">
        <v>30</v>
      </c>
      <c r="O1" s="14" t="s">
        <v>31</v>
      </c>
    </row>
    <row r="2" spans="1:23" x14ac:dyDescent="0.25">
      <c r="A2" s="15" t="s">
        <v>18</v>
      </c>
      <c r="B2" s="15" t="s">
        <v>19</v>
      </c>
      <c r="C2" s="15">
        <v>18.989999999999998</v>
      </c>
      <c r="D2" s="15" t="s">
        <v>59</v>
      </c>
      <c r="E2" s="15">
        <v>20</v>
      </c>
      <c r="F2" s="15">
        <v>0</v>
      </c>
      <c r="G2" s="5"/>
      <c r="H2" s="5"/>
      <c r="I2" s="5"/>
      <c r="J2" s="5"/>
      <c r="K2" s="5"/>
      <c r="L2" s="6"/>
      <c r="M2" s="3"/>
      <c r="N2" s="5"/>
      <c r="O2" s="5"/>
    </row>
    <row r="3" spans="1:2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</row>
    <row r="6" spans="1:2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18" spans="7:7" x14ac:dyDescent="0.25">
      <c r="G18" s="16"/>
    </row>
  </sheetData>
  <dataValidations count="1">
    <dataValidation type="list" allowBlank="1" showInputMessage="1" showErrorMessage="1" sqref="D2" xr:uid="{00000000-0002-0000-0100-000000000000}">
      <formula1>"ВВГнг 4x1.5,ВВГнг 4x2.5,ВВГнг 4x4,ВВГнг 4x6,ВВГнг 4x10,ВВГнг 4x16,ВВГнг 4x25,ВВГнг 4x35,ВВГнг 4x50,ВВГнг 4x70,ВВГнг 4x95,ВВГнг 4x120,ВВГнг 4x150,ВВГнг 4x185,ВВГнг 4x240,ВВГнг 4x300,ВВГнг 4x400,ВВГнг 4x500,ВВГнг 4x630,ВВГнг 4x800,ВВГнг 4x1000"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5" r:id="rId4" name="CBSqrChange">
          <controlPr autoLine="0" r:id="rId5">
            <anchor moveWithCells="1">
              <from>
                <xdr:col>15</xdr:col>
                <xdr:colOff>57150</xdr:colOff>
                <xdr:row>0</xdr:row>
                <xdr:rowOff>66675</xdr:rowOff>
              </from>
              <to>
                <xdr:col>15</xdr:col>
                <xdr:colOff>561975</xdr:colOff>
                <xdr:row>0</xdr:row>
                <xdr:rowOff>571500</xdr:rowOff>
              </to>
            </anchor>
          </controlPr>
        </control>
      </mc:Choice>
      <mc:Fallback>
        <control shapeId="2055" r:id="rId4" name="CBSqrChang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0"/>
  <sheetViews>
    <sheetView zoomScaleNormal="100" workbookViewId="0"/>
  </sheetViews>
  <sheetFormatPr defaultRowHeight="15" x14ac:dyDescent="0.25"/>
  <cols>
    <col min="1" max="1" width="25.7109375" style="1" customWidth="1"/>
    <col min="2" max="2" width="15.7109375" style="1" customWidth="1"/>
    <col min="3" max="23" width="9.7109375" style="1" customWidth="1"/>
    <col min="24" max="16384" width="9.140625" style="1"/>
  </cols>
  <sheetData>
    <row r="1" spans="1:23" ht="50.1" customHeight="1" x14ac:dyDescent="0.25">
      <c r="A1" s="17" t="s">
        <v>10</v>
      </c>
      <c r="B1" s="11" t="s">
        <v>2</v>
      </c>
      <c r="C1" s="18" t="s">
        <v>36</v>
      </c>
      <c r="D1" s="18" t="s">
        <v>37</v>
      </c>
      <c r="E1" s="18" t="s">
        <v>38</v>
      </c>
      <c r="F1" s="18" t="s">
        <v>39</v>
      </c>
      <c r="G1" s="18" t="s">
        <v>40</v>
      </c>
      <c r="H1" s="18" t="s">
        <v>41</v>
      </c>
      <c r="I1" s="18" t="s">
        <v>42</v>
      </c>
      <c r="J1" s="18" t="s">
        <v>43</v>
      </c>
      <c r="K1" s="18" t="s">
        <v>44</v>
      </c>
      <c r="L1" s="18" t="s">
        <v>45</v>
      </c>
      <c r="M1" s="18" t="s">
        <v>46</v>
      </c>
      <c r="N1" s="18" t="s">
        <v>47</v>
      </c>
      <c r="O1" s="18" t="s">
        <v>48</v>
      </c>
      <c r="P1" s="18" t="s">
        <v>49</v>
      </c>
      <c r="Q1" s="18" t="s">
        <v>50</v>
      </c>
      <c r="R1" s="18" t="s">
        <v>51</v>
      </c>
      <c r="S1" s="18" t="s">
        <v>52</v>
      </c>
      <c r="T1" s="18" t="s">
        <v>53</v>
      </c>
      <c r="U1" s="18" t="s">
        <v>54</v>
      </c>
      <c r="V1" s="19" t="s">
        <v>55</v>
      </c>
      <c r="W1" s="19" t="s">
        <v>56</v>
      </c>
    </row>
    <row r="2" spans="1:23" x14ac:dyDescent="0.25">
      <c r="A2" s="4" t="s">
        <v>18</v>
      </c>
      <c r="B2" s="4" t="s">
        <v>19</v>
      </c>
      <c r="C2" s="4">
        <v>7.0999999999999994E-2</v>
      </c>
      <c r="D2" s="4">
        <v>0.875</v>
      </c>
      <c r="E2" s="4">
        <v>5.9359999999999999</v>
      </c>
      <c r="F2" s="4">
        <v>0.34</v>
      </c>
      <c r="G2" s="4">
        <v>0.16</v>
      </c>
      <c r="H2" s="4">
        <v>112</v>
      </c>
      <c r="I2" s="4">
        <v>1.92</v>
      </c>
      <c r="J2" s="4">
        <v>0.2</v>
      </c>
      <c r="K2" s="4">
        <v>0.3</v>
      </c>
      <c r="L2" s="4">
        <v>13</v>
      </c>
      <c r="M2" s="4">
        <v>11</v>
      </c>
      <c r="N2" s="4">
        <v>4</v>
      </c>
      <c r="O2" s="4">
        <v>3.758</v>
      </c>
      <c r="P2" s="4">
        <v>134.17300000000003</v>
      </c>
      <c r="Q2" s="4">
        <v>19.387</v>
      </c>
      <c r="R2" s="4">
        <v>135.566</v>
      </c>
      <c r="S2" s="4">
        <v>1.704</v>
      </c>
      <c r="T2" s="4">
        <v>1.8460000000000001</v>
      </c>
      <c r="U2" s="4">
        <v>2.41</v>
      </c>
      <c r="V2" s="4">
        <v>1.4750000000000001</v>
      </c>
      <c r="W2" s="4">
        <v>0.93500000000000005</v>
      </c>
    </row>
    <row r="3" spans="1:2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</row>
    <row r="6" spans="1:2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10" spans="1:23" x14ac:dyDescent="0.25">
      <c r="D10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Данные</vt:lpstr>
      <vt:lpstr>Проверки</vt:lpstr>
      <vt:lpstr>Токи КЗ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</dc:creator>
  <cp:lastModifiedBy>Дмитрий Коробкин</cp:lastModifiedBy>
  <dcterms:created xsi:type="dcterms:W3CDTF">2015-08-27T21:00:15Z</dcterms:created>
  <dcterms:modified xsi:type="dcterms:W3CDTF">2021-03-22T16:45:56Z</dcterms:modified>
</cp:coreProperties>
</file>